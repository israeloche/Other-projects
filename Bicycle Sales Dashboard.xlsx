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57427A0-EB82-4934-B972-9C376888972C}" xr6:coauthVersionLast="47" xr6:coauthVersionMax="47" xr10:uidLastSave="{00000000-0000-0000-0000-000000000000}"/>
  <bookViews>
    <workbookView xWindow="-110" yWindow="-110" windowWidth="19420" windowHeight="1030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2" l="1"/>
  <c r="V4" i="2"/>
  <c r="U4" i="2"/>
  <c r="T4"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<sst xmlns="http://schemas.openxmlformats.org/spreadsheetml/2006/main" count="16272" uniqueCount="52">
  <si>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</si>
  <si>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</si>
  <si>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</si>
  <si>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</si>
  <si>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</si>
  <si>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</si>
  <si>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</si>
  <si>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</si>
  <si>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</si>
  <si>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</si>
  <si>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</si>
  <si>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</si>
  <si>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</si>
  <si>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</si>
  <si>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</si>
  <si>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</si>
  <si>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</si>
  <si>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</si>
  <si>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</si>
  <si>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</si>
  <si>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</si>
  <si>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</si>
  <si>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</si>
  <si>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</si>
  <si>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</si>
  <si>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</si>
  <si>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</si>
  <si>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</si>
  <si>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</si>
  <si>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</si>
  <si>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</si>
  <si>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</si>
  <si>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</si>
  <si>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</si>
  <si>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</si>
  <si>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</si>
  <si>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</si>
  <si>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</si>
  <si>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</si>
  <si>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</si>
  <si>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</si>
  <si>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Row Labels</t>
  </si>
  <si>
    <t>Grand Total</t>
  </si>
  <si>
    <t>Average of Income</t>
  </si>
  <si>
    <t>Column Labels</t>
  </si>
  <si>
    <t>Count of Purchased Bike</t>
  </si>
  <si>
    <t>More than 10 Miles</t>
  </si>
  <si>
    <t>Adolescent</t>
  </si>
  <si>
    <t>Middle Age</t>
  </si>
  <si>
    <t>Old</t>
  </si>
  <si>
    <t>Bicycle Sales Dashboard</t>
  </si>
  <si>
    <t>Age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</si>
</sst>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xf numFmtId="0" fontId="0" fillId="33" borderId="0" xfId="0" applyFill="1"/>
    <xf numFmtId="0" fontId="0" fillId="0" borderId="0" xfId="0" applyAlignment="1">
      <alignment vertic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C58-4D85-A572-028DF8C6AE74}"/>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C58-4D85-A572-028DF8C6AE74}"/>
            </c:ext>
          </c:extLst>
        </c:ser>
        <c:dLbls>
          <c:showLegendKey val="0"/>
          <c:showVal val="0"/>
          <c:showCatName val="0"/>
          <c:showSerName val="0"/>
          <c:showPercent val="0"/>
          <c:showBubbleSize val="0"/>
        </c:dLbls>
        <c:gapWidth val="219"/>
        <c:overlap val="-27"/>
        <c:axId val="530790272"/>
        <c:axId val="530790688"/>
      </c:barChart>
      <c:catAx>
        <c:axId val="530790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790688"/>
        <c:crosses val="autoZero"/>
        <c:auto val="1"/>
        <c:lblAlgn val="ctr"/>
        <c:lblOffset val="100"/>
        <c:noMultiLvlLbl val="0"/>
      </c:catAx>
      <c:valAx>
        <c:axId val="53079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7902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D7D-4F27-862F-41ABDF7FDE00}"/>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D7D-4F27-862F-41ABDF7FDE00}"/>
            </c:ext>
          </c:extLst>
        </c:ser>
        <c:dLbls>
          <c:showLegendKey val="0"/>
          <c:showVal val="0"/>
          <c:showCatName val="0"/>
          <c:showSerName val="0"/>
          <c:showPercent val="0"/>
          <c:showBubbleSize val="0"/>
        </c:dLbls>
        <c:smooth val="0"/>
        <c:axId val="677819104"/>
        <c:axId val="677820352"/>
      </c:lineChart>
      <c:catAx>
        <c:axId val="67781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20352"/>
        <c:crosses val="autoZero"/>
        <c:auto val="1"/>
        <c:lblAlgn val="ctr"/>
        <c:lblOffset val="100"/>
        <c:noMultiLvlLbl val="0"/>
      </c:catAx>
      <c:valAx>
        <c:axId val="67782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1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Table'!$A$29:$A$32</c:f>
              <c:strCache>
                <c:ptCount val="3"/>
                <c:pt idx="0">
                  <c:v>Adolescent</c:v>
                </c:pt>
                <c:pt idx="1">
                  <c:v>Middle Age</c:v>
                </c:pt>
                <c:pt idx="2">
                  <c:v>Old</c:v>
                </c:pt>
              </c:strCache>
            </c:strRef>
          </c:cat>
          <c:val>
            <c:numRef>
              <c:f>'Pivot Table'!$B$29:$B$32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1BF-42F0-98CE-21523C79E083}"/>
            </c:ext>
          </c:extLst>
        </c:ser>
        <c:ser>
          <c:idx val="1"/>
          <c:order val="1"/>
          <c:tx>
            <c:strRef>
              <c:f>'Pivot Table'!$C$27:$C$28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Table'!$A$29:$A$32</c:f>
              <c:strCache>
                <c:ptCount val="3"/>
                <c:pt idx="0">
                  <c:v>Adolescent</c:v>
                </c:pt>
                <c:pt idx="1">
                  <c:v>Middle Age</c:v>
                </c:pt>
                <c:pt idx="2">
                  <c:v>Old</c:v>
                </c:pt>
              </c:strCache>
            </c:strRef>
          </c:cat>
          <c:val>
            <c:numRef>
              <c:f>'Pivot Table'!$C$29:$C$32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1BF-42F0-98CE-21523C79E083}"/>
            </c:ext>
          </c:extLst>
        </c:ser>
        <c:dLbls>
          <c:showLegendKey val="0"/>
          <c:showVal val="0"/>
          <c:showCatName val="0"/>
          <c:showSerName val="0"/>
          <c:showPercent val="0"/>
          <c:showBubbleSize val="0"/>
        </c:dLbls>
        <c:marker val="1"/>
        <c:smooth val="0"/>
        <c:axId val="677400592"/>
        <c:axId val="677402672"/>
      </c:lineChart>
      <c:catAx>
        <c:axId val="67740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402672"/>
        <c:crosses val="autoZero"/>
        <c:auto val="1"/>
        <c:lblAlgn val="ctr"/>
        <c:lblOffset val="100"/>
        <c:noMultiLvlLbl val="0"/>
      </c:catAx>
      <c:valAx>
        <c:axId val="67740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40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AA3-4652-BEDC-C7C6EE71A98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AA3-4652-BEDC-C7C6EE71A989}"/>
            </c:ext>
          </c:extLst>
        </c:ser>
        <c:dLbls>
          <c:showLegendKey val="0"/>
          <c:showVal val="0"/>
          <c:showCatName val="0"/>
          <c:showSerName val="0"/>
          <c:showPercent val="0"/>
          <c:showBubbleSize val="0"/>
        </c:dLbls>
        <c:gapWidth val="219"/>
        <c:overlap val="-27"/>
        <c:axId val="530790272"/>
        <c:axId val="530790688"/>
      </c:barChart>
      <c:catAx>
        <c:axId val="530790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790688"/>
        <c:crosses val="autoZero"/>
        <c:auto val="1"/>
        <c:lblAlgn val="ctr"/>
        <c:lblOffset val="100"/>
        <c:noMultiLvlLbl val="0"/>
      </c:catAx>
      <c:valAx>
        <c:axId val="5307906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Avege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7902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Table'!$B$14:$B$15</c:f>
              <c:strCache>
                <c:ptCount val="1"/>
                <c:pt idx="0">
                  <c:v>No</c:v>
                </c:pt>
              </c:strCache>
            </c:strRef>
          </c:tx>
          <c:spPr>
            <a:ln w="28575" cap="rnd">
              <a:solidFill>
                <a:schemeClr val="accent1"/>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Table'!$B$16:$B$21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1D7-4F03-9828-EE742EA8A216}"/>
            </c:ext>
          </c:extLst>
        </c:ser>
        <c:ser>
          <c:idx val="1"/>
          <c:order val="1"/>
          <c:tx>
            <c:strRef>
              <c:f>'Pivot Table'!$C$14:$C$15</c:f>
              <c:strCache>
                <c:ptCount val="1"/>
                <c:pt idx="0">
                  <c:v>Yes</c:v>
                </c:pt>
              </c:strCache>
            </c:strRef>
          </c:tx>
          <c:spPr>
            <a:ln w="28575" cap="rnd">
              <a:solidFill>
                <a:schemeClr val="accent2"/>
              </a:solidFill>
              <a:round/>
            </a:ln>
            <a:effectLst/>
          </c:spPr>
          <c:marker>
            <c:symbol val="none"/>
          </c:marker>
          <c:cat>
            <c:strRef>
              <c:f>'Pivot Table'!$A$16:$A$21</c:f>
              <c:strCache>
                <c:ptCount val="5"/>
                <c:pt idx="0">
                  <c:v>0-1 Miles</c:v>
                </c:pt>
                <c:pt idx="1">
                  <c:v>1-2 Miles</c:v>
                </c:pt>
                <c:pt idx="2">
                  <c:v>2-5 Miles</c:v>
                </c:pt>
                <c:pt idx="3">
                  <c:v>5-10 Miles</c:v>
                </c:pt>
                <c:pt idx="4">
                  <c:v>More than 10 Miles</c:v>
                </c:pt>
              </c:strCache>
            </c:strRef>
          </c:cat>
          <c:val>
            <c:numRef>
              <c:f>'Pivot Table'!$C$16:$C$21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1D7-4F03-9828-EE742EA8A216}"/>
            </c:ext>
          </c:extLst>
        </c:ser>
        <c:dLbls>
          <c:showLegendKey val="0"/>
          <c:showVal val="0"/>
          <c:showCatName val="0"/>
          <c:showSerName val="0"/>
          <c:showPercent val="0"/>
          <c:showBubbleSize val="0"/>
        </c:dLbls>
        <c:smooth val="0"/>
        <c:axId val="677819104"/>
        <c:axId val="677820352"/>
      </c:lineChart>
      <c:catAx>
        <c:axId val="67781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20352"/>
        <c:crosses val="autoZero"/>
        <c:auto val="1"/>
        <c:lblAlgn val="ctr"/>
        <c:lblOffset val="100"/>
        <c:noMultiLvlLbl val="0"/>
      </c:catAx>
      <c:valAx>
        <c:axId val="67782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81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Table'!$B$27:$B$28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Table'!$A$29:$A$32</c:f>
              <c:strCache>
                <c:ptCount val="3"/>
                <c:pt idx="0">
                  <c:v>Adolescent</c:v>
                </c:pt>
                <c:pt idx="1">
                  <c:v>Middle Age</c:v>
                </c:pt>
                <c:pt idx="2">
                  <c:v>Old</c:v>
                </c:pt>
              </c:strCache>
            </c:strRef>
          </c:cat>
          <c:val>
            <c:numRef>
              <c:f>'Pivot Table'!$B$29:$B$32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062-497A-89E1-B68D3F85B588}"/>
            </c:ext>
          </c:extLst>
        </c:ser>
        <c:ser>
          <c:idx val="1"/>
          <c:order val="1"/>
          <c:tx>
            <c:strRef>
              <c:f>'Pivot Table'!$C$27:$C$28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Table'!$A$29:$A$32</c:f>
              <c:strCache>
                <c:ptCount val="3"/>
                <c:pt idx="0">
                  <c:v>Adolescent</c:v>
                </c:pt>
                <c:pt idx="1">
                  <c:v>Middle Age</c:v>
                </c:pt>
                <c:pt idx="2">
                  <c:v>Old</c:v>
                </c:pt>
              </c:strCache>
            </c:strRef>
          </c:cat>
          <c:val>
            <c:numRef>
              <c:f>'Pivot Table'!$C$29:$C$32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062-497A-89E1-B68D3F85B588}"/>
            </c:ext>
          </c:extLst>
        </c:ser>
        <c:dLbls>
          <c:showLegendKey val="0"/>
          <c:showVal val="0"/>
          <c:showCatName val="0"/>
          <c:showSerName val="0"/>
          <c:showPercent val="0"/>
          <c:showBubbleSize val="0"/>
        </c:dLbls>
        <c:marker val="1"/>
        <c:smooth val="0"/>
        <c:axId val="677400592"/>
        <c:axId val="677402672"/>
      </c:lineChart>
      <c:catAx>
        <c:axId val="67740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402672"/>
        <c:crosses val="autoZero"/>
        <c:auto val="1"/>
        <c:lblAlgn val="ctr"/>
        <c:lblOffset val="100"/>
        <c:noMultiLvlLbl val="0"/>
      </c:catAx>
      <c:valAx>
        <c:axId val="67740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40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508000</xdr:colOff>
      <xdr:row>2</xdr:row>
      <xdr:rowOff>50799</xdr:rowOff>
    </xdr:from>
    <xdr:to>
      <xdr:col>10</xdr:col>
      <xdr:colOff>304800</xdr:colOff>
      <xdr:row>11</xdr:row>
      <xdr:rowOff>133350</xdr:rowOff>
    </xdr:to>
    <xdr:graphicFrame macro="">
      <xdr:nvGraphicFramePr>
        <xdr:cNvPr id="2" name="Chart 1">
          <a:extLst>
            <a:ext uri="{FF2B5EF4-FFF2-40B4-BE49-F238E27FC236}">
              <a16:creationId xmlns:a16="http://schemas.microsoft.com/office/drawing/2014/main" id="{44E9A4DE-D4D0-49B8-B004-DA1356489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298450</xdr:colOff>
      <xdr:row>13</xdr:row>
      <xdr:rowOff>126999</xdr:rowOff>
    </xdr:from>
    <xdr:to>
      <xdr:col>11</xdr:col>
      <xdr:colOff>241300</xdr:colOff>
      <xdr:row>25</xdr:row>
      <xdr:rowOff>31750</xdr:rowOff>
    </xdr:to>
    <xdr:graphicFrame macro="">
      <xdr:nvGraphicFramePr>
        <xdr:cNvPr id="3" name="Chart 2">
          <a:extLst>
            <a:ext uri="{FF2B5EF4-FFF2-40B4-BE49-F238E27FC236}">
              <a16:creationId xmlns:a16="http://schemas.microsoft.com/office/drawing/2014/main" id="{6E3395D8-D445-4210-93F8-1F5F962A4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622300</xdr:colOff>
      <xdr:row>26</xdr:row>
      <xdr:rowOff>177799</xdr:rowOff>
    </xdr:from>
    <xdr:to>
      <xdr:col>10</xdr:col>
      <xdr:colOff>387350</xdr:colOff>
      <xdr:row>39</xdr:row>
      <xdr:rowOff>92074</xdr:rowOff>
    </xdr:to>
    <xdr:graphicFrame macro="">
      <xdr:nvGraphicFramePr>
        <xdr:cNvPr id="5" name="Chart 4">
          <a:extLst>
            <a:ext uri="{FF2B5EF4-FFF2-40B4-BE49-F238E27FC236}">
              <a16:creationId xmlns:a16="http://schemas.microsoft.com/office/drawing/2014/main" id="{4B32374D-AA75-4E0F-A0A5-F1F4F645E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315384</xdr:colOff>
      <xdr:row>4</xdr:row>
      <xdr:rowOff>93132</xdr:rowOff>
    </xdr:from>
    <xdr:to>
      <xdr:col>10</xdr:col>
      <xdr:colOff>455084</xdr:colOff>
      <xdr:row>17</xdr:row>
      <xdr:rowOff>112183</xdr:rowOff>
    </xdr:to>
    <xdr:graphicFrame macro="">
      <xdr:nvGraphicFramePr>
        <xdr:cNvPr id="2" name="Chart 1">
          <a:extLst>
            <a:ext uri="{FF2B5EF4-FFF2-40B4-BE49-F238E27FC236}">
              <a16:creationId xmlns:a16="http://schemas.microsoft.com/office/drawing/2014/main" id="{AF24D492-2394-42D9-8E8F-35019D6ED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317499</xdr:colOff>
      <xdr:row>18</xdr:row>
      <xdr:rowOff>21166</xdr:rowOff>
    </xdr:from>
    <xdr:to>
      <xdr:col>17</xdr:col>
      <xdr:colOff>232832</xdr:colOff>
      <xdr:row>32</xdr:row>
      <xdr:rowOff>95250</xdr:rowOff>
    </xdr:to>
    <xdr:graphicFrame macro="">
      <xdr:nvGraphicFramePr>
        <xdr:cNvPr id="3" name="Chart 2">
          <a:extLst>
            <a:ext uri="{FF2B5EF4-FFF2-40B4-BE49-F238E27FC236}">
              <a16:creationId xmlns:a16="http://schemas.microsoft.com/office/drawing/2014/main" id="{A26EF668-FA0C-439C-A4D2-E50B3DC61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586316</xdr:colOff>
      <xdr:row>4</xdr:row>
      <xdr:rowOff>97367</xdr:rowOff>
    </xdr:from>
    <xdr:to>
      <xdr:col>17</xdr:col>
      <xdr:colOff>232832</xdr:colOff>
      <xdr:row>17</xdr:row>
      <xdr:rowOff>116418</xdr:rowOff>
    </xdr:to>
    <xdr:graphicFrame macro="">
      <xdr:nvGraphicFramePr>
        <xdr:cNvPr id="4" name="Chart 3">
          <a:extLst>
            <a:ext uri="{FF2B5EF4-FFF2-40B4-BE49-F238E27FC236}">
              <a16:creationId xmlns:a16="http://schemas.microsoft.com/office/drawing/2014/main" id="{6A269FBD-DD2A-49DC-BB4E-C45CE0455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550333</xdr:colOff>
      <xdr:row>4</xdr:row>
      <xdr:rowOff>101599</xdr:rowOff>
    </xdr:from>
    <xdr:to>
      <xdr:col>3</xdr:col>
      <xdr:colOff>537633</xdr:colOff>
      <xdr:row>9</xdr:row>
      <xdr:rowOff>137582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46B2E8EC-4D16-4D02-9F17-6174D34C038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50333" y="821266"/>
              <a:ext cx="1828800" cy="935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550333</xdr:colOff>
      <xdr:row>10</xdr:row>
      <xdr:rowOff>59267</xdr:rowOff>
    </xdr:from>
    <xdr:to>
      <xdr:col>3</xdr:col>
      <xdr:colOff>537633</xdr:colOff>
      <xdr:row>16</xdr:row>
      <xdr:rowOff>158750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CFCE1D66-D4B7-45FE-9995-B43402F6F8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0333" y="1858434"/>
              <a:ext cx="1828800" cy="1178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571499</xdr:colOff>
      <xdr:row>17</xdr:row>
      <xdr:rowOff>69850</xdr:rowOff>
    </xdr:from>
    <xdr:to>
      <xdr:col>3</xdr:col>
      <xdr:colOff>548216</xdr:colOff>
      <xdr:row>26</xdr:row>
      <xdr:rowOff>148167</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C7191971-DC85-4BE2-A4B2-A62F973932A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71499" y="3128433"/>
              <a:ext cx="1818217" cy="1697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8.074699537035" createdVersion="7" refreshedVersion="7" minRefreshableVersion="3" recordCount="1000" xr:uid="{2EE507C5-EC1B-4909-BFA3-0A5E070372D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1292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E289A6-74A0-42FA-88CF-7A408B56F50C}"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27:D3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9" format="0" series="1">
      <pivotArea type="data" outline="0" fieldPosition="0">
        <references count="2">
          <reference field="4294967294" count="1" selected="0">
            <x v="0"/>
          </reference>
          <reference field="13" count="1" selected="0">
            <x v="0"/>
          </reference>
        </references>
      </pivotArea>
    </chartFormat>
    <chartFormat chart="9" format="1" series="1">
      <pivotArea type="data" outline="0" fieldPosition="0">
        <references count="2">
          <reference field="4294967294" count="1" selected="0">
            <x v="0"/>
          </reference>
          <reference field="13" count="1" selected="0">
            <x v="1"/>
          </reference>
        </references>
      </pivotArea>
    </chartFormat>
    <chartFormat chart="10" format="2" series="1">
      <pivotArea type="data" outline="0" fieldPosition="0">
        <references count="2">
          <reference field="4294967294" count="1" selected="0">
            <x v="0"/>
          </reference>
          <reference field="13" count="1" selected="0">
            <x v="0"/>
          </reference>
        </references>
      </pivotArea>
    </chartFormat>
    <chartFormat chart="10" format="3"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B5CFE-2B1A-4DEF-93B0-F84A1AE3987C}"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4:D2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4AAE40-66E4-4C30-AA70-74B36879ED64}"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2">
    <format dxfId="1">
      <pivotArea collapsedLevelsAreSubtotals="1" fieldPosition="0">
        <references count="1">
          <reference field="2" count="0"/>
        </references>
      </pivotArea>
    </format>
    <format dxfId="0">
      <pivotArea field="13" grandRow="1" outline="0" collapsedLevelsAreSubtotals="1" axis="axisCol" fieldPosition="0">
        <references count="1">
          <reference field="13" count="0" selected="0"/>
        </references>
      </pivotArea>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69EED17-8C5C-4F0D-857D-18E2DC9A3AC7}" sourceName="Marital Status">
  <pivotTables>
    <pivotTable tabId="3" name="PivotTable2"/>
    <pivotTable tabId="3" name="PivotTable1"/>
    <pivotTable tabId="3" name="PivotTable3"/>
  </pivotTables>
  <data>
    <tabular pivotCacheId="21129207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D7B375-BC59-412D-92F1-D5EF27BB7846}" sourceName="Region">
  <pivotTables>
    <pivotTable tabId="3" name="PivotTable1"/>
    <pivotTable tabId="3" name="PivotTable2"/>
    <pivotTable tabId="3" name="PivotTable3"/>
  </pivotTables>
  <data>
    <tabular pivotCacheId="21129207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AF01935-924D-4143-AE3F-5080E27408EE}" sourceName="Education">
  <pivotTables>
    <pivotTable tabId="3" name="PivotTable1"/>
    <pivotTable tabId="3" name="PivotTable2"/>
    <pivotTable tabId="3" name="PivotTable3"/>
  </pivotTables>
  <data>
    <tabular pivotCacheId="21129207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D4A2788-C513-464B-98A0-FB1F7B1CB265}" cache="Slicer_Marital_Status" caption="Marital Status" rowHeight="241300"/>
  <slicer name="Region" xr10:uid="{F346C2BC-F781-420F-865D-6B5236F0695C}" cache="Slicer_Region" caption="Region" rowHeight="241300"/>
  <slicer name="Education" xr10:uid="{A50C393A-5C7F-4B4D-8450-4789C997470D}"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D10A-6D5A-4101-829E-18093A6309C6}">
  <dimension ref="A1:W1001"/>
  <sheetViews>
    <sheetView topLeftCell="G1" zoomScale="80" zoomScaleNormal="80" workbookViewId="0">
      <selection activeCell="S3" sqref="S3:W4"/>
    </sheetView>
  </sheetViews>
  <sheetFormatPr defaultColWidth="11.90625" defaultRowHeight="14.5" x14ac:dyDescent="0.35"/>
  <cols>
    <col min="4" max="4" width="11.90625" style="3"/>
    <col min="14" max="14" width="15.453125" customWidth="1"/>
  </cols>
  <sheetData>
    <row r="1" spans="1:23" x14ac:dyDescent="0.35">
      <c r="A1" t="s">
        <v>0</v>
      </c>
      <c r="B1" t="s">
        <v>1</v>
      </c>
      <c r="C1" t="s">
        <v>2</v>
      </c>
      <c r="D1" t="s">
        <v>3</v>
      </c>
      <c r="E1" t="s">
        <v>4</v>
      </c>
      <c r="F1" t="s">
        <v>5</v>
      </c>
      <c r="G1" t="s">
        <v>6</v>
      </c>
      <c r="H1" t="s">
        <v>7</v>
      </c>
      <c r="I1" t="s">
        <v>8</v>
      </c>
      <c r="J1" t="s">
        <v>9</v>
      </c>
      <c r="K1" t="s">
        <v>10</v>
      </c>
      <c r="L1" t="s">
        <v>11</v>
      </c>
      <c r="M1" t="s">
        <v>40</v>
      </c>
      <c r="N1" t="s">
        <v>12</v>
      </c>
    </row>
    <row r="2" spans="1:23"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23"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c r="S3" t="s">
        <v>0</v>
      </c>
      <c r="T3" t="s">
        <v>3</v>
      </c>
      <c r="U3" t="s">
        <v>11</v>
      </c>
      <c r="V3" t="s">
        <v>10</v>
      </c>
      <c r="W3" t="s">
        <v>51</v>
      </c>
    </row>
    <row r="4" spans="1:23" x14ac:dyDescent="0.35">
      <c r="A4">
        <v>14177</v>
      </c>
      <c r="B4" t="s">
        <v>36</v>
      </c>
      <c r="C4" t="s">
        <v>38</v>
      </c>
      <c r="D4" s="3">
        <v>80000</v>
      </c>
      <c r="E4">
        <v>5</v>
      </c>
      <c r="F4" t="s">
        <v>19</v>
      </c>
      <c r="G4" t="s">
        <v>21</v>
      </c>
      <c r="H4" t="s">
        <v>18</v>
      </c>
      <c r="I4">
        <v>2</v>
      </c>
      <c r="J4" t="s">
        <v>22</v>
      </c>
      <c r="K4" t="s">
        <v>17</v>
      </c>
      <c r="L4">
        <v>60</v>
      </c>
      <c r="M4" t="str">
        <f t="shared" si="0"/>
        <v>Old</v>
      </c>
      <c r="N4" t="s">
        <v>18</v>
      </c>
      <c r="S4">
        <v>22173</v>
      </c>
      <c r="T4">
        <f>_xlfn.XLOOKUP($S$4, $A$2:$A$1000, $D$2:$D$1000, "Not Found")</f>
        <v>30000</v>
      </c>
      <c r="U4">
        <f>_xlfn.XLOOKUP($S$4, $A$2:$A$1000, $L$2:$L$1000, "Not Found")</f>
        <v>54</v>
      </c>
      <c r="V4" t="str">
        <f>_xlfn.XLOOKUP($S$4, $A$2:$A$1000, $K$2:$K$1000, "Not Found")</f>
        <v>Pacific</v>
      </c>
      <c r="W4" t="str">
        <f>_xlfn.XLOOKUP($S$4, $A$2:$A$1000, $M$2:$M$1000, "Not Found")</f>
        <v>Middle Age</v>
      </c>
    </row>
    <row r="5" spans="1:23" x14ac:dyDescent="0.35">
      <c r="A5">
        <v>24381</v>
      </c>
      <c r="B5" t="s">
        <v>37</v>
      </c>
      <c r="C5" t="s">
        <v>38</v>
      </c>
      <c r="D5" s="3">
        <v>70000</v>
      </c>
      <c r="E5">
        <v>0</v>
      </c>
      <c r="F5" t="s">
        <v>13</v>
      </c>
      <c r="G5" t="s">
        <v>21</v>
      </c>
      <c r="H5" t="s">
        <v>15</v>
      </c>
      <c r="I5">
        <v>1</v>
      </c>
      <c r="J5" t="s">
        <v>23</v>
      </c>
      <c r="K5" t="s">
        <v>24</v>
      </c>
      <c r="L5">
        <v>41</v>
      </c>
      <c r="M5" t="str">
        <f t="shared" si="0"/>
        <v>Middle Age</v>
      </c>
      <c r="N5" t="s">
        <v>15</v>
      </c>
    </row>
    <row r="6" spans="1:23" x14ac:dyDescent="0.35">
      <c r="A6">
        <v>25597</v>
      </c>
      <c r="B6" t="s">
        <v>37</v>
      </c>
      <c r="C6" t="s">
        <v>38</v>
      </c>
      <c r="D6" s="3">
        <v>30000</v>
      </c>
      <c r="E6">
        <v>0</v>
      </c>
      <c r="F6" t="s">
        <v>13</v>
      </c>
      <c r="G6" t="s">
        <v>20</v>
      </c>
      <c r="H6" t="s">
        <v>18</v>
      </c>
      <c r="I6">
        <v>0</v>
      </c>
      <c r="J6" t="s">
        <v>16</v>
      </c>
      <c r="K6" t="s">
        <v>17</v>
      </c>
      <c r="L6">
        <v>36</v>
      </c>
      <c r="M6" t="str">
        <f t="shared" si="0"/>
        <v>Middle Age</v>
      </c>
      <c r="N6" t="s">
        <v>15</v>
      </c>
    </row>
    <row r="7" spans="1:23" x14ac:dyDescent="0.35">
      <c r="A7">
        <v>13507</v>
      </c>
      <c r="B7" t="s">
        <v>36</v>
      </c>
      <c r="C7" t="s">
        <v>39</v>
      </c>
      <c r="D7" s="3">
        <v>10000</v>
      </c>
      <c r="E7">
        <v>2</v>
      </c>
      <c r="F7" t="s">
        <v>19</v>
      </c>
      <c r="G7" t="s">
        <v>25</v>
      </c>
      <c r="H7" t="s">
        <v>15</v>
      </c>
      <c r="I7">
        <v>0</v>
      </c>
      <c r="J7" t="s">
        <v>26</v>
      </c>
      <c r="K7" t="s">
        <v>17</v>
      </c>
      <c r="L7">
        <v>50</v>
      </c>
      <c r="M7" t="str">
        <f t="shared" si="0"/>
        <v>Middle Age</v>
      </c>
      <c r="N7" t="s">
        <v>18</v>
      </c>
    </row>
    <row r="8" spans="1:23" x14ac:dyDescent="0.35">
      <c r="A8">
        <v>27974</v>
      </c>
      <c r="B8" t="s">
        <v>37</v>
      </c>
      <c r="C8" t="s">
        <v>38</v>
      </c>
      <c r="D8" s="3">
        <v>160000</v>
      </c>
      <c r="E8">
        <v>2</v>
      </c>
      <c r="F8" t="s">
        <v>27</v>
      </c>
      <c r="G8" t="s">
        <v>28</v>
      </c>
      <c r="H8" t="s">
        <v>15</v>
      </c>
      <c r="I8">
        <v>4</v>
      </c>
      <c r="J8" t="s">
        <v>16</v>
      </c>
      <c r="K8" t="s">
        <v>24</v>
      </c>
      <c r="L8">
        <v>33</v>
      </c>
      <c r="M8" t="str">
        <f t="shared" si="0"/>
        <v>Middle Age</v>
      </c>
      <c r="N8" t="s">
        <v>15</v>
      </c>
    </row>
    <row r="9" spans="1:23" x14ac:dyDescent="0.35">
      <c r="A9">
        <v>19364</v>
      </c>
      <c r="B9" t="s">
        <v>36</v>
      </c>
      <c r="C9" t="s">
        <v>38</v>
      </c>
      <c r="D9" s="3">
        <v>40000</v>
      </c>
      <c r="E9">
        <v>1</v>
      </c>
      <c r="F9" t="s">
        <v>13</v>
      </c>
      <c r="G9" t="s">
        <v>14</v>
      </c>
      <c r="H9" t="s">
        <v>15</v>
      </c>
      <c r="I9">
        <v>0</v>
      </c>
      <c r="J9" t="s">
        <v>16</v>
      </c>
      <c r="K9" t="s">
        <v>17</v>
      </c>
      <c r="L9">
        <v>43</v>
      </c>
      <c r="M9" t="str">
        <f t="shared" si="0"/>
        <v>Middle Age</v>
      </c>
      <c r="N9" t="s">
        <v>15</v>
      </c>
    </row>
    <row r="10" spans="1:23"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23"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23"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23"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23"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23"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23"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8B55D10A-6D5A-4101-829E-18093A6309C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E80B-13A5-478B-B44F-0A72CBE138C6}">
  <dimension ref="A3:D32"/>
  <sheetViews>
    <sheetView topLeftCell="A25" workbookViewId="0">
      <selection activeCell="B31" sqref="B31"/>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5" t="s">
        <v>43</v>
      </c>
      <c r="B3" s="5" t="s">
        <v>44</v>
      </c>
    </row>
    <row r="4" spans="1:4" x14ac:dyDescent="0.35">
      <c r="A4" s="5" t="s">
        <v>41</v>
      </c>
      <c r="B4" t="s">
        <v>18</v>
      </c>
      <c r="C4" t="s">
        <v>15</v>
      </c>
      <c r="D4" t="s">
        <v>42</v>
      </c>
    </row>
    <row r="5" spans="1:4" x14ac:dyDescent="0.35">
      <c r="A5" s="6" t="s">
        <v>39</v>
      </c>
      <c r="B5" s="7">
        <v>53440</v>
      </c>
      <c r="C5" s="7">
        <v>55774.058577405856</v>
      </c>
      <c r="D5" s="7">
        <v>54580.777096114522</v>
      </c>
    </row>
    <row r="6" spans="1:4" x14ac:dyDescent="0.35">
      <c r="A6" s="6" t="s">
        <v>38</v>
      </c>
      <c r="B6" s="7">
        <v>56208.178438661707</v>
      </c>
      <c r="C6" s="7">
        <v>60123.966942148763</v>
      </c>
      <c r="D6" s="7">
        <v>58062.62230919765</v>
      </c>
    </row>
    <row r="7" spans="1:4" x14ac:dyDescent="0.35">
      <c r="A7" s="6" t="s">
        <v>42</v>
      </c>
      <c r="B7" s="7">
        <v>54874.759152215796</v>
      </c>
      <c r="C7" s="7">
        <v>57962.577962577961</v>
      </c>
      <c r="D7" s="4">
        <v>56360</v>
      </c>
    </row>
    <row r="14" spans="1:4" x14ac:dyDescent="0.35">
      <c r="A14" s="5" t="s">
        <v>45</v>
      </c>
      <c r="B14" s="5" t="s">
        <v>44</v>
      </c>
    </row>
    <row r="15" spans="1:4" x14ac:dyDescent="0.35">
      <c r="A15" s="5" t="s">
        <v>41</v>
      </c>
      <c r="B15" t="s">
        <v>18</v>
      </c>
      <c r="C15" t="s">
        <v>15</v>
      </c>
      <c r="D15" t="s">
        <v>42</v>
      </c>
    </row>
    <row r="16" spans="1:4" x14ac:dyDescent="0.35">
      <c r="A16" s="6" t="s">
        <v>16</v>
      </c>
      <c r="B16" s="4">
        <v>166</v>
      </c>
      <c r="C16" s="4">
        <v>200</v>
      </c>
      <c r="D16" s="4">
        <v>366</v>
      </c>
    </row>
    <row r="17" spans="1:4" x14ac:dyDescent="0.35">
      <c r="A17" s="6" t="s">
        <v>26</v>
      </c>
      <c r="B17" s="4">
        <v>92</v>
      </c>
      <c r="C17" s="4">
        <v>77</v>
      </c>
      <c r="D17" s="4">
        <v>169</v>
      </c>
    </row>
    <row r="18" spans="1:4" x14ac:dyDescent="0.35">
      <c r="A18" s="6" t="s">
        <v>22</v>
      </c>
      <c r="B18" s="4">
        <v>67</v>
      </c>
      <c r="C18" s="4">
        <v>95</v>
      </c>
      <c r="D18" s="4">
        <v>162</v>
      </c>
    </row>
    <row r="19" spans="1:4" x14ac:dyDescent="0.35">
      <c r="A19" s="6" t="s">
        <v>23</v>
      </c>
      <c r="B19" s="4">
        <v>116</v>
      </c>
      <c r="C19" s="4">
        <v>76</v>
      </c>
      <c r="D19" s="4">
        <v>192</v>
      </c>
    </row>
    <row r="20" spans="1:4" x14ac:dyDescent="0.35">
      <c r="A20" s="6" t="s">
        <v>46</v>
      </c>
      <c r="B20" s="4">
        <v>78</v>
      </c>
      <c r="C20" s="4">
        <v>33</v>
      </c>
      <c r="D20" s="4">
        <v>111</v>
      </c>
    </row>
    <row r="21" spans="1:4" x14ac:dyDescent="0.35">
      <c r="A21" s="6" t="s">
        <v>42</v>
      </c>
      <c r="B21" s="4">
        <v>519</v>
      </c>
      <c r="C21" s="4">
        <v>481</v>
      </c>
      <c r="D21" s="4">
        <v>1000</v>
      </c>
    </row>
    <row r="27" spans="1:4" x14ac:dyDescent="0.35">
      <c r="A27" s="5" t="s">
        <v>45</v>
      </c>
      <c r="B27" s="5" t="s">
        <v>44</v>
      </c>
    </row>
    <row r="28" spans="1:4" x14ac:dyDescent="0.35">
      <c r="A28" s="5" t="s">
        <v>41</v>
      </c>
      <c r="B28" t="s">
        <v>18</v>
      </c>
      <c r="C28" t="s">
        <v>15</v>
      </c>
      <c r="D28" t="s">
        <v>42</v>
      </c>
    </row>
    <row r="29" spans="1:4" x14ac:dyDescent="0.35">
      <c r="A29" s="6" t="s">
        <v>47</v>
      </c>
      <c r="B29" s="4">
        <v>71</v>
      </c>
      <c r="C29" s="4">
        <v>39</v>
      </c>
      <c r="D29" s="4">
        <v>110</v>
      </c>
    </row>
    <row r="30" spans="1:4" x14ac:dyDescent="0.35">
      <c r="A30" s="6" t="s">
        <v>48</v>
      </c>
      <c r="B30" s="4">
        <v>318</v>
      </c>
      <c r="C30" s="4">
        <v>383</v>
      </c>
      <c r="D30" s="4">
        <v>701</v>
      </c>
    </row>
    <row r="31" spans="1:4" x14ac:dyDescent="0.35">
      <c r="A31" s="6" t="s">
        <v>49</v>
      </c>
      <c r="B31" s="4">
        <v>130</v>
      </c>
      <c r="C31" s="4">
        <v>59</v>
      </c>
      <c r="D31" s="4">
        <v>189</v>
      </c>
    </row>
    <row r="32" spans="1:4" x14ac:dyDescent="0.35">
      <c r="A32" s="6" t="s">
        <v>42</v>
      </c>
      <c r="B32" s="4">
        <v>519</v>
      </c>
      <c r="C32" s="4">
        <v>481</v>
      </c>
      <c r="D32"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E43A-EB2F-4CA9-A54B-10B2E85C1641}">
  <dimension ref="A1:S5"/>
  <sheetViews>
    <sheetView showGridLines="0" tabSelected="1" zoomScale="60" zoomScaleNormal="60" workbookViewId="0">
      <selection activeCell="U10" sqref="U10:Y11"/>
    </sheetView>
  </sheetViews>
  <sheetFormatPr defaultRowHeight="14.5" x14ac:dyDescent="0.35"/>
  <sheetData>
    <row r="1" spans="1:19" ht="14.5" customHeight="1" x14ac:dyDescent="0.75">
      <c r="A1" s="11" t="s">
        <v>50</v>
      </c>
      <c r="B1" s="11"/>
      <c r="C1" s="11"/>
      <c r="D1" s="11"/>
      <c r="E1" s="11"/>
      <c r="F1" s="11"/>
      <c r="G1" s="11"/>
      <c r="H1" s="11"/>
      <c r="I1" s="11"/>
      <c r="J1" s="11"/>
      <c r="K1" s="11"/>
      <c r="L1" s="11"/>
      <c r="M1" s="11"/>
      <c r="N1" s="11"/>
      <c r="O1" s="11"/>
      <c r="P1" s="11"/>
      <c r="Q1" s="11"/>
      <c r="R1" s="11"/>
      <c r="S1" s="8"/>
    </row>
    <row r="2" spans="1:19" ht="14.5" customHeight="1" x14ac:dyDescent="0.35">
      <c r="A2" s="11"/>
      <c r="B2" s="11"/>
      <c r="C2" s="11"/>
      <c r="D2" s="11"/>
      <c r="E2" s="11"/>
      <c r="F2" s="11"/>
      <c r="G2" s="11"/>
      <c r="H2" s="11"/>
      <c r="I2" s="11"/>
      <c r="J2" s="11"/>
      <c r="K2" s="11"/>
      <c r="L2" s="11"/>
      <c r="M2" s="11"/>
      <c r="N2" s="11"/>
      <c r="O2" s="11"/>
      <c r="P2" s="11"/>
      <c r="Q2" s="11"/>
      <c r="R2" s="11"/>
      <c r="S2" s="9"/>
    </row>
    <row r="3" spans="1:19" ht="14.5" customHeight="1" x14ac:dyDescent="0.35">
      <c r="A3" s="11"/>
      <c r="B3" s="11"/>
      <c r="C3" s="11"/>
      <c r="D3" s="11"/>
      <c r="E3" s="11"/>
      <c r="F3" s="11"/>
      <c r="G3" s="11"/>
      <c r="H3" s="11"/>
      <c r="I3" s="11"/>
      <c r="J3" s="11"/>
      <c r="K3" s="11"/>
      <c r="L3" s="11"/>
      <c r="M3" s="11"/>
      <c r="N3" s="11"/>
      <c r="O3" s="11"/>
      <c r="P3" s="11"/>
      <c r="Q3" s="11"/>
      <c r="R3" s="11"/>
      <c r="S3" s="9"/>
    </row>
    <row r="4" spans="1:19" ht="14.5" customHeight="1" x14ac:dyDescent="0.35">
      <c r="A4" s="11"/>
      <c r="B4" s="11"/>
      <c r="C4" s="11"/>
      <c r="D4" s="11"/>
      <c r="E4" s="11"/>
      <c r="F4" s="11"/>
      <c r="G4" s="11"/>
      <c r="H4" s="11"/>
      <c r="I4" s="11"/>
      <c r="J4" s="11"/>
      <c r="K4" s="11"/>
      <c r="L4" s="11"/>
      <c r="M4" s="11"/>
      <c r="N4" s="11"/>
      <c r="O4" s="11"/>
      <c r="P4" s="11"/>
      <c r="Q4" s="11"/>
      <c r="R4" s="11"/>
      <c r="S4" s="9"/>
    </row>
    <row r="5" spans="1:19" x14ac:dyDescent="0.35">
      <c r="A5" s="10"/>
    </row>
  </sheetData>
  <mergeCells count="1">
    <mergeCell ref="A1: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2026-07-15T14:43:04Z</dcterms:modified>
</cp:coreProperties>
</file>